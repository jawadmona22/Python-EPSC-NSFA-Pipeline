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matrix_outputs\"/>
    </mc:Choice>
  </mc:AlternateContent>
  <xr:revisionPtr revIDLastSave="0" documentId="13_ncr:1_{DC012646-E499-4308-9A14-A01EA8228D00}" xr6:coauthVersionLast="47" xr6:coauthVersionMax="47" xr10:uidLastSave="{00000000-0000-0000-0000-000000000000}"/>
  <bookViews>
    <workbookView xWindow="0" yWindow="900" windowWidth="23016" windowHeight="13656" xr2:uid="{00000000-000D-0000-FFFF-FFFF00000000}"/>
  </bookViews>
  <sheets>
    <sheet name="Sheet1" sheetId="1" r:id="rId1"/>
  </sheets>
  <definedNames>
    <definedName name="_xlchart.v1.0" hidden="1">Sheet1!$F$1</definedName>
    <definedName name="_xlchart.v1.1" hidden="1">Sheet1!$F$2:$F$19</definedName>
    <definedName name="_xlchart.v1.10" hidden="1">Sheet1!$H$1</definedName>
    <definedName name="_xlchart.v1.11" hidden="1">Sheet1!$H$2:$H$19</definedName>
    <definedName name="_xlchart.v1.12" hidden="1">Sheet1!$F$1</definedName>
    <definedName name="_xlchart.v1.13" hidden="1">Sheet1!$F$2:$F$19</definedName>
    <definedName name="_xlchart.v1.14" hidden="1">Sheet1!$H$1</definedName>
    <definedName name="_xlchart.v1.15" hidden="1">Sheet1!$H$2:$H$19</definedName>
    <definedName name="_xlchart.v1.16" hidden="1">Sheet1!$F$1</definedName>
    <definedName name="_xlchart.v1.17" hidden="1">Sheet1!$F$2:$F$19</definedName>
    <definedName name="_xlchart.v1.18" hidden="1">Sheet1!$H$1</definedName>
    <definedName name="_xlchart.v1.19" hidden="1">Sheet1!$H$2:$H$19</definedName>
    <definedName name="_xlchart.v1.2" hidden="1">Sheet1!$H$1</definedName>
    <definedName name="_xlchart.v1.3" hidden="1">Sheet1!$H$2:$H$19</definedName>
    <definedName name="_xlchart.v1.4" hidden="1">Sheet1!$F$1</definedName>
    <definedName name="_xlchart.v1.5" hidden="1">Sheet1!$F$2:$F$19</definedName>
    <definedName name="_xlchart.v1.6" hidden="1">Sheet1!$H$1</definedName>
    <definedName name="_xlchart.v1.7" hidden="1">Sheet1!$H$2:$H$19</definedName>
    <definedName name="_xlchart.v1.8" hidden="1">Sheet1!$F$1</definedName>
    <definedName name="_xlchart.v1.9" hidden="1">Sheet1!$F$2:$F$19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<sst xmlns="http://schemas.openxmlformats.org/spreadsheetml/2006/main" count="62" uniqueCount="16">
  <si>
    <t>alignment</t>
  </si>
  <si>
    <t>analysis_start_point</t>
  </si>
  <si>
    <t>scaling</t>
  </si>
  <si>
    <t>parabolic_i</t>
  </si>
  <si>
    <t>num_channels</t>
  </si>
  <si>
    <t>peak</t>
  </si>
  <si>
    <t>peak_start</t>
  </si>
  <si>
    <t>minimize_error</t>
  </si>
  <si>
    <t>alignment_point</t>
  </si>
  <si>
    <t>peak_scaling_at_peak_time</t>
  </si>
  <si>
    <t>peak_to_peak_scaling</t>
  </si>
  <si>
    <t>midpoint</t>
  </si>
  <si>
    <t>max_dv_dt</t>
  </si>
  <si>
    <t>linear_i_first_5</t>
  </si>
  <si>
    <t>Parabolic Percent Error</t>
  </si>
  <si>
    <t>Linear Current Estimate Percent error (Compared to .56)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</si>
</sst>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>
      <cx:tx>
        <cx:txData>
          <cx:v>Percent Error By Fitting Type - Fixed 10mM Glutamate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Percent Error By Fitting Type - Fixed 10mM Glutamate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boxWhisker" uniqueId="{0D938D77-AB53-4650-870E-4FB12FDE05FD}">
          <cx:tx>
            <cx:txData>
              <cx:f>_xlchart.v1.12</cx:f>
              <cx:v>Linear Current Estimate Percent error (Compared to .56)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3C1808-F861-4F22-808A-AE08B8EF3344}">
          <cx:tx>
            <cx:txData>
              <cx:f>_xlchart.v1.14</cx:f>
              <cx:v>Parabolic Percent Error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2110740</xdr:colOff>
      <xdr:row>22</xdr:row>
      <xdr:rowOff>87630</xdr:rowOff>
    </xdr:from>
    <xdr:to>
      <xdr:col>7</xdr:col>
      <xdr:colOff>998220</xdr:colOff>
      <xdr:row>37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227F82B-BD1F-46FC-5E92-4ADD388215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9800" y="41109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E14" workbookViewId="0">
      <selection activeCell="H30" sqref="H30"/>
    </sheetView>
  </sheetViews>
  <sheetFormatPr defaultRowHeight="14.4" x14ac:dyDescent="0.3"/>
  <cols>
    <col min="4" max="4" width="38" customWidth="1"/>
    <col min="5" max="6" width="47.88671875" customWidth="1"/>
    <col min="7" max="8" width="35" customWidth="1"/>
    <col min="9" max="9" width="24.8867187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13</v>
      </c>
      <c r="F1" s="1" t="s">
        <v>15</v>
      </c>
      <c r="G1" s="1" t="s">
        <v>3</v>
      </c>
      <c r="H1" s="1" t="s">
        <v>14</v>
      </c>
      <c r="I1" s="1" t="s">
        <v>4</v>
      </c>
    </row>
    <row r="2" spans="1:9" x14ac:dyDescent="0.3">
      <c r="A2" s="1">
        <v>0</v>
      </c>
      <c r="B2" t="s">
        <v>5</v>
      </c>
      <c r="C2" t="s">
        <v>6</v>
      </c>
      <c r="D2" t="s">
        <v>7</v>
      </c>
      <c r="E2">
        <v>0.48582075333454011</v>
      </c>
      <c r="F2">
        <f>(ABS(E2-0.56)/0.56)*100</f>
        <v>13.246294047403559</v>
      </c>
      <c r="G2">
        <v>0.575321216560854</v>
      </c>
      <c r="H2">
        <f>(ABS(G2-0.56)/0.56)*100</f>
        <v>2.7359315287239188</v>
      </c>
      <c r="I2">
        <v>1632.8192736461319</v>
      </c>
    </row>
    <row r="3" spans="1:9" x14ac:dyDescent="0.3">
      <c r="A3" s="1">
        <v>1</v>
      </c>
      <c r="B3" t="s">
        <v>5</v>
      </c>
      <c r="C3" t="s">
        <v>8</v>
      </c>
      <c r="D3" t="s">
        <v>7</v>
      </c>
      <c r="E3">
        <v>0.48582075333454011</v>
      </c>
      <c r="F3">
        <f t="shared" ref="F3:F19" si="0">(ABS(E3-0.56)/0.56)*100</f>
        <v>13.246294047403559</v>
      </c>
      <c r="G3">
        <v>0.575321216560854</v>
      </c>
      <c r="H3">
        <f t="shared" ref="H3:H19" si="1">(ABS(G3-0.56)/0.56)*100</f>
        <v>2.7359315287239188</v>
      </c>
      <c r="I3">
        <v>1632.8192736461319</v>
      </c>
    </row>
    <row r="4" spans="1:9" x14ac:dyDescent="0.3">
      <c r="A4" s="1">
        <v>2</v>
      </c>
      <c r="B4" t="s">
        <v>5</v>
      </c>
      <c r="C4" t="s">
        <v>6</v>
      </c>
      <c r="D4" t="s">
        <v>9</v>
      </c>
      <c r="E4">
        <v>0.57059974393427071</v>
      </c>
      <c r="F4">
        <f t="shared" si="0"/>
        <v>1.8928114168340455</v>
      </c>
      <c r="G4">
        <v>1.042575722968937</v>
      </c>
      <c r="H4">
        <f t="shared" si="1"/>
        <v>86.174236244453013</v>
      </c>
      <c r="I4">
        <v>696.4029114144837</v>
      </c>
    </row>
    <row r="5" spans="1:9" x14ac:dyDescent="0.3">
      <c r="A5" s="1">
        <v>3</v>
      </c>
      <c r="B5" t="s">
        <v>5</v>
      </c>
      <c r="C5" t="s">
        <v>8</v>
      </c>
      <c r="D5" t="s">
        <v>9</v>
      </c>
      <c r="E5">
        <v>0.57059974393427071</v>
      </c>
      <c r="F5">
        <f t="shared" si="0"/>
        <v>1.8928114168340455</v>
      </c>
      <c r="G5">
        <v>1.042575722968937</v>
      </c>
      <c r="H5">
        <f t="shared" si="1"/>
        <v>86.174236244453013</v>
      </c>
      <c r="I5">
        <v>696.4029114144837</v>
      </c>
    </row>
    <row r="6" spans="1:9" x14ac:dyDescent="0.3">
      <c r="A6" s="1">
        <v>4</v>
      </c>
      <c r="B6" t="s">
        <v>5</v>
      </c>
      <c r="C6" t="s">
        <v>6</v>
      </c>
      <c r="D6" t="s">
        <v>10</v>
      </c>
      <c r="E6">
        <v>0.57059974393427071</v>
      </c>
      <c r="F6">
        <f t="shared" si="0"/>
        <v>1.8928114168340455</v>
      </c>
      <c r="G6">
        <v>1.042575722968937</v>
      </c>
      <c r="H6">
        <f t="shared" si="1"/>
        <v>86.174236244453013</v>
      </c>
      <c r="I6">
        <v>696.4029114144837</v>
      </c>
    </row>
    <row r="7" spans="1:9" x14ac:dyDescent="0.3">
      <c r="A7" s="1">
        <v>5</v>
      </c>
      <c r="B7" t="s">
        <v>5</v>
      </c>
      <c r="C7" t="s">
        <v>8</v>
      </c>
      <c r="D7" t="s">
        <v>10</v>
      </c>
      <c r="E7">
        <v>0.57059974393427071</v>
      </c>
      <c r="F7">
        <f t="shared" si="0"/>
        <v>1.8928114168340455</v>
      </c>
      <c r="G7">
        <v>1.042575722968937</v>
      </c>
      <c r="H7">
        <f t="shared" si="1"/>
        <v>86.174236244453013</v>
      </c>
      <c r="I7">
        <v>696.4029114144837</v>
      </c>
    </row>
    <row r="8" spans="1:9" x14ac:dyDescent="0.3">
      <c r="A8" s="1">
        <v>6</v>
      </c>
      <c r="B8" t="s">
        <v>11</v>
      </c>
      <c r="C8" t="s">
        <v>6</v>
      </c>
      <c r="D8" t="s">
        <v>7</v>
      </c>
      <c r="E8">
        <v>0.44958665899557232</v>
      </c>
      <c r="F8">
        <f t="shared" si="0"/>
        <v>19.716668036504949</v>
      </c>
      <c r="G8">
        <v>0.36328427624652732</v>
      </c>
      <c r="H8">
        <f t="shared" si="1"/>
        <v>35.127807813120128</v>
      </c>
      <c r="I8">
        <v>2766.6107599183229</v>
      </c>
    </row>
    <row r="9" spans="1:9" x14ac:dyDescent="0.3">
      <c r="A9" s="1">
        <v>7</v>
      </c>
      <c r="B9" t="s">
        <v>11</v>
      </c>
      <c r="C9" t="s">
        <v>8</v>
      </c>
      <c r="D9" t="s">
        <v>7</v>
      </c>
      <c r="E9">
        <v>0.44103448892255442</v>
      </c>
      <c r="F9">
        <f t="shared" si="0"/>
        <v>21.243841263829573</v>
      </c>
      <c r="G9">
        <v>0.28472983830518211</v>
      </c>
      <c r="H9">
        <f t="shared" si="1"/>
        <v>49.155386016931772</v>
      </c>
      <c r="I9">
        <v>8321.4155333927883</v>
      </c>
    </row>
    <row r="10" spans="1:9" x14ac:dyDescent="0.3">
      <c r="A10" s="1">
        <v>8</v>
      </c>
      <c r="B10" t="s">
        <v>11</v>
      </c>
      <c r="C10" t="s">
        <v>6</v>
      </c>
      <c r="D10" t="s">
        <v>9</v>
      </c>
      <c r="E10">
        <v>0.53252675905878888</v>
      </c>
      <c r="F10">
        <f t="shared" si="0"/>
        <v>4.9059358823591381</v>
      </c>
      <c r="G10">
        <v>0.74205391414784128</v>
      </c>
      <c r="H10">
        <f t="shared" si="1"/>
        <v>32.509627526400216</v>
      </c>
      <c r="I10">
        <v>1131.766712247907</v>
      </c>
    </row>
    <row r="11" spans="1:9" x14ac:dyDescent="0.3">
      <c r="A11" s="1">
        <v>9</v>
      </c>
      <c r="B11" t="s">
        <v>11</v>
      </c>
      <c r="C11" t="s">
        <v>8</v>
      </c>
      <c r="D11" t="s">
        <v>9</v>
      </c>
      <c r="E11">
        <v>0.52843114248378564</v>
      </c>
      <c r="F11">
        <f t="shared" si="0"/>
        <v>5.6372959850382864</v>
      </c>
      <c r="G11">
        <v>0.78007484410026562</v>
      </c>
      <c r="H11">
        <f t="shared" si="1"/>
        <v>39.299079303618846</v>
      </c>
      <c r="I11">
        <v>1001.958998157545</v>
      </c>
    </row>
    <row r="12" spans="1:9" x14ac:dyDescent="0.3">
      <c r="A12" s="1">
        <v>10</v>
      </c>
      <c r="B12" t="s">
        <v>11</v>
      </c>
      <c r="C12" t="s">
        <v>6</v>
      </c>
      <c r="D12" t="s">
        <v>10</v>
      </c>
      <c r="E12">
        <v>0.53432730050753396</v>
      </c>
      <c r="F12">
        <f t="shared" si="0"/>
        <v>4.5844106236546587</v>
      </c>
      <c r="G12">
        <v>0.81794817205399029</v>
      </c>
      <c r="H12">
        <f t="shared" si="1"/>
        <v>46.062173581069679</v>
      </c>
      <c r="I12">
        <v>894.17403445629043</v>
      </c>
    </row>
    <row r="13" spans="1:9" x14ac:dyDescent="0.3">
      <c r="A13" s="1">
        <v>11</v>
      </c>
      <c r="B13" t="s">
        <v>11</v>
      </c>
      <c r="C13" t="s">
        <v>8</v>
      </c>
      <c r="D13" t="s">
        <v>10</v>
      </c>
      <c r="E13">
        <v>0.52944367970318451</v>
      </c>
      <c r="F13">
        <f t="shared" si="0"/>
        <v>5.4564857672884894</v>
      </c>
      <c r="G13">
        <v>0.83497987080287239</v>
      </c>
      <c r="H13">
        <f t="shared" si="1"/>
        <v>49.103548357655768</v>
      </c>
      <c r="I13">
        <v>855.28285824349985</v>
      </c>
    </row>
    <row r="14" spans="1:9" x14ac:dyDescent="0.3">
      <c r="A14" s="1">
        <v>12</v>
      </c>
      <c r="B14" t="s">
        <v>12</v>
      </c>
      <c r="C14" t="s">
        <v>6</v>
      </c>
      <c r="D14" t="s">
        <v>7</v>
      </c>
      <c r="E14">
        <v>0.38926755144599928</v>
      </c>
      <c r="F14">
        <f t="shared" si="0"/>
        <v>30.487937241785851</v>
      </c>
      <c r="G14">
        <v>0.23631208796623829</v>
      </c>
      <c r="H14">
        <f t="shared" si="1"/>
        <v>57.801412863171741</v>
      </c>
      <c r="I14">
        <v>8352.7101290168994</v>
      </c>
    </row>
    <row r="15" spans="1:9" x14ac:dyDescent="0.3">
      <c r="A15" s="1">
        <v>13</v>
      </c>
      <c r="B15" t="s">
        <v>12</v>
      </c>
      <c r="C15" t="s">
        <v>8</v>
      </c>
      <c r="D15" t="s">
        <v>7</v>
      </c>
      <c r="E15">
        <v>0.36820202822694892</v>
      </c>
      <c r="F15">
        <f t="shared" si="0"/>
        <v>34.249637816616271</v>
      </c>
      <c r="G15">
        <v>0.36945702849970402</v>
      </c>
      <c r="H15">
        <f t="shared" si="1"/>
        <v>34.025530625052859</v>
      </c>
      <c r="I15">
        <v>3606.2807463881668</v>
      </c>
    </row>
    <row r="16" spans="1:9" x14ac:dyDescent="0.3">
      <c r="A16" s="1">
        <v>14</v>
      </c>
      <c r="B16" t="s">
        <v>12</v>
      </c>
      <c r="C16" t="s">
        <v>6</v>
      </c>
      <c r="D16" t="s">
        <v>9</v>
      </c>
      <c r="E16">
        <v>0.50849102985891315</v>
      </c>
      <c r="F16">
        <f t="shared" si="0"/>
        <v>9.1980303823369471</v>
      </c>
      <c r="G16">
        <v>0.69963422272920917</v>
      </c>
      <c r="H16">
        <f t="shared" si="1"/>
        <v>24.93468263021591</v>
      </c>
      <c r="I16">
        <v>1266.977568173661</v>
      </c>
    </row>
    <row r="17" spans="1:9" x14ac:dyDescent="0.3">
      <c r="A17" s="1">
        <v>15</v>
      </c>
      <c r="B17" t="s">
        <v>12</v>
      </c>
      <c r="C17" t="s">
        <v>8</v>
      </c>
      <c r="D17" t="s">
        <v>9</v>
      </c>
      <c r="E17">
        <v>0.50053497100497246</v>
      </c>
      <c r="F17">
        <f t="shared" si="0"/>
        <v>10.618755177683498</v>
      </c>
      <c r="G17">
        <v>0.99801136132907697</v>
      </c>
      <c r="H17">
        <f t="shared" si="1"/>
        <v>78.216314523049448</v>
      </c>
      <c r="I17">
        <v>694.07344625534006</v>
      </c>
    </row>
    <row r="18" spans="1:9" x14ac:dyDescent="0.3">
      <c r="A18" s="1">
        <v>16</v>
      </c>
      <c r="B18" t="s">
        <v>12</v>
      </c>
      <c r="C18" t="s">
        <v>6</v>
      </c>
      <c r="D18" t="s">
        <v>10</v>
      </c>
      <c r="E18">
        <v>0.50930206074314199</v>
      </c>
      <c r="F18">
        <f t="shared" si="0"/>
        <v>9.0532034387246529</v>
      </c>
      <c r="G18">
        <v>0.73109964744905753</v>
      </c>
      <c r="H18">
        <f t="shared" si="1"/>
        <v>30.553508473045977</v>
      </c>
      <c r="I18">
        <v>1121.6539098932351</v>
      </c>
    </row>
    <row r="19" spans="1:9" x14ac:dyDescent="0.3">
      <c r="A19" s="1">
        <v>17</v>
      </c>
      <c r="B19" t="s">
        <v>12</v>
      </c>
      <c r="C19" t="s">
        <v>8</v>
      </c>
      <c r="D19" t="s">
        <v>10</v>
      </c>
      <c r="E19">
        <v>0.50098161694145826</v>
      </c>
      <c r="F19">
        <f t="shared" si="0"/>
        <v>10.538996974739606</v>
      </c>
      <c r="G19">
        <v>0.99575438585338971</v>
      </c>
      <c r="H19">
        <f t="shared" si="1"/>
        <v>77.813283188105288</v>
      </c>
      <c r="I19">
        <v>689.73614030615545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Jawad, Mona</cp:lastModifiedBy>
  <dcterms:created xsi:type="dcterms:W3CDTF">2025-02-20T02:52:36Z</dcterms:created>
  <dcterms:modified xsi:type="dcterms:W3CDTF">2025-02-20T03:34:26Z</dcterms:modified>
</cp:coreProperties>
</file>