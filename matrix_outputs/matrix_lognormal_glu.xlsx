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jawad\Downloads\Python-EPSC-NSFA-Pipeline\matrix_outputs\"/>
    </mc:Choice>
  </mc:AlternateContent>
  <xr:revisionPtr revIDLastSave="0" documentId="13_ncr:1_{9D7CC3E1-1948-4F09-A689-C065A519895D}" xr6:coauthVersionLast="47" xr6:coauthVersionMax="47" xr10:uidLastSave="{00000000-0000-0000-0000-000000000000}"/>
  <bookViews>
    <workbookView xWindow="24" yWindow="120" windowWidth="23016" windowHeight="13656" xr2:uid="{00000000-000D-0000-FFFF-FFFF00000000}"/>
  </bookViews>
  <sheets>
    <sheet name="Full_Linear" sheetId="1" r:id="rId1"/>
    <sheet name="Sheet2" sheetId="2" r:id="rId2"/>
  </sheets>
  <definedNames>
    <definedName name="_xlchart.v1.0" hidden="1">Full_Linear!$F$1</definedName>
    <definedName name="_xlchart.v1.1" hidden="1">Full_Linear!$F$2:$F$19</definedName>
    <definedName name="_xlchart.v1.10" hidden="1">Full_Linear!$J$1</definedName>
    <definedName name="_xlchart.v1.11" hidden="1">Full_Linear!$J$2:$J$19</definedName>
    <definedName name="_xlchart.v1.12" hidden="1">Full_Linear!$F$1</definedName>
    <definedName name="_xlchart.v1.13" hidden="1">Full_Linear!$F$2:$F$19</definedName>
    <definedName name="_xlchart.v1.14" hidden="1">Full_Linear!$H$1</definedName>
    <definedName name="_xlchart.v1.15" hidden="1">Full_Linear!$H$2:$H$19</definedName>
    <definedName name="_xlchart.v1.16" hidden="1">Full_Linear!$J$1</definedName>
    <definedName name="_xlchart.v1.17" hidden="1">Full_Linear!$J$2:$J$19</definedName>
    <definedName name="_xlchart.v1.18" hidden="1">Full_Linear!$F$1</definedName>
    <definedName name="_xlchart.v1.19" hidden="1">Full_Linear!$F$2:$F$19</definedName>
    <definedName name="_xlchart.v1.2" hidden="1">Full_Linear!$H$1</definedName>
    <definedName name="_xlchart.v1.20" hidden="1">Full_Linear!$H$1</definedName>
    <definedName name="_xlchart.v1.21" hidden="1">Full_Linear!$H$2:$H$19</definedName>
    <definedName name="_xlchart.v1.22" hidden="1">Full_Linear!$J$1</definedName>
    <definedName name="_xlchart.v1.23" hidden="1">Full_Linear!$J$2:$J$19</definedName>
    <definedName name="_xlchart.v1.24" hidden="1">Full_Linear!$F$1</definedName>
    <definedName name="_xlchart.v1.25" hidden="1">Full_Linear!$F$2:$F$19</definedName>
    <definedName name="_xlchart.v1.26" hidden="1">Full_Linear!$H$1</definedName>
    <definedName name="_xlchart.v1.27" hidden="1">Full_Linear!$H$2:$H$19</definedName>
    <definedName name="_xlchart.v1.28" hidden="1">Full_Linear!$J$1</definedName>
    <definedName name="_xlchart.v1.29" hidden="1">Full_Linear!$J$2:$J$19</definedName>
    <definedName name="_xlchart.v1.3" hidden="1">Full_Linear!$H$2:$H$19</definedName>
    <definedName name="_xlchart.v1.4" hidden="1">Full_Linear!$J$1</definedName>
    <definedName name="_xlchart.v1.5" hidden="1">Full_Linear!$J$2:$J$19</definedName>
    <definedName name="_xlchart.v1.6" hidden="1">Full_Linear!$F$1</definedName>
    <definedName name="_xlchart.v1.7" hidden="1">Full_Linear!$F$2:$F$19</definedName>
    <definedName name="_xlchart.v1.8" hidden="1">Full_Linear!$H$1</definedName>
    <definedName name="_xlchart.v1.9" hidden="1">Full_Linear!$H$2:$H$19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" i="1"/>
</calcChain>
</file>

<file path=xl/sharedStrings.xml><?xml version="1.0" encoding="utf-8"?>
<sst xmlns="http://schemas.openxmlformats.org/spreadsheetml/2006/main" count="127" uniqueCount="20">
  <si>
    <t>alignment</t>
  </si>
  <si>
    <t>analysis_start_point</t>
  </si>
  <si>
    <t>scaling</t>
  </si>
  <si>
    <t>linear_i</t>
  </si>
  <si>
    <t>parabolic_i</t>
  </si>
  <si>
    <t>num_channels</t>
  </si>
  <si>
    <t>peak</t>
  </si>
  <si>
    <t>peak_start</t>
  </si>
  <si>
    <t>minimize_error</t>
  </si>
  <si>
    <t>alignment_point</t>
  </si>
  <si>
    <t>peak_scaling_at_peak_time</t>
  </si>
  <si>
    <t>peak_to_peak_scaling</t>
  </si>
  <si>
    <t>midpoint</t>
  </si>
  <si>
    <t>max_dv_dt</t>
  </si>
  <si>
    <t>NA (No parabolic fit)</t>
  </si>
  <si>
    <t>linear_i_first_5_points</t>
  </si>
  <si>
    <t>linear_i_all_data</t>
  </si>
  <si>
    <t>linear_all_data_error</t>
  </si>
  <si>
    <t>linear_first_5_data_error</t>
  </si>
  <si>
    <t>parabolic_error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</si>
</sst>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_xlchart.v1.13</cx:f>
      </cx:numDim>
    </cx:data>
    <cx:data id="1">
      <cx:numDim type="val">
        <cx:f>_xlchart.v1.15</cx:f>
      </cx:numDim>
    </cx:data>
    <cx:data id="2">
      <cx:numDim type="val">
        <cx:f>_xlchart.v1.17</cx:f>
      </cx:numDim>
    </cx:data>
  </cx:chartData>
  <cx:chart>
    <cx:title pos="t" align="ctr" overlay="0">
      <cx:tx>
        <cx:txData>
          <cx:v>Percent Error by Fitting Styles - Lognormal Glut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Percent Error by Fitting Styles - Lognormal Glut </a:t>
          </a:r>
        </a:p>
      </cx:txPr>
    </cx:title>
    <cx:plotArea>
      <cx:plotAreaRegion>
        <cx:series layoutId="boxWhisker" uniqueId="{C19FF35F-3CCB-4FCC-9D97-32266F14C139}">
          <cx:tx>
            <cx:txData>
              <cx:f>_xlchart.v1.12</cx:f>
              <cx:v>linear_all_data_error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683F30D5-E5F5-4FF3-8B87-B1DFBB84890D}">
          <cx:tx>
            <cx:txData>
              <cx:f>_xlchart.v1.14</cx:f>
              <cx:v>linear_first_5_data_error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48527100-32C6-41F5-9D5C-5D8B6D7EC992}">
          <cx:tx>
            <cx:txData>
              <cx:f>_xlchart.v1.16</cx:f>
              <cx:v>parabolic_error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</cx:plotAreaRegion>
      <cx:axis id="0" hidden="1">
        <cx:catScaling gapWidth="1"/>
        <cx:title>
          <cx:txPr>
            <a:bodyPr spcFirstLastPara="1" vertOverflow="ellipsis" horzOverflow="overflow" wrap="square" lIns="0" tIns="0" rIns="0" bIns="0" anchor="ctr" anchorCtr="1"/>
            <a:lstStyle/>
            <a:p>
              <a:pPr algn="ctr" rtl="0">
                <a:defRPr/>
              </a:pPr>
              <a:endParaRPr lang="en-US" sz="9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/>
              </a:endParaRPr>
            </a:p>
          </cx:txPr>
        </cx:title>
        <cx:tickLabels/>
        <cx:numFmt formatCode="General" sourceLinked="0"/>
      </cx:axis>
      <cx:axis id="1">
        <cx:valScaling/>
        <cx:tickLabels/>
      </cx:axis>
    </cx:plotArea>
    <cx:legend pos="b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3155324</xdr:colOff>
      <xdr:row>23</xdr:row>
      <xdr:rowOff>55809</xdr:rowOff>
    </xdr:from>
    <xdr:to>
      <xdr:col>9</xdr:col>
      <xdr:colOff>278581</xdr:colOff>
      <xdr:row>38</xdr:row>
      <xdr:rowOff>62248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2B99EB4-3AD2-F241-B4C9-17C8A0C1B38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355130" y="4201744"/>
              <a:ext cx="5513451" cy="2710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9"/>
  <sheetViews>
    <sheetView tabSelected="1" zoomScale="93" workbookViewId="0">
      <selection activeCell="C24" sqref="C24"/>
    </sheetView>
  </sheetViews>
  <sheetFormatPr defaultRowHeight="14.4" x14ac:dyDescent="0.3"/>
  <cols>
    <col min="2" max="2" width="48.88671875" customWidth="1"/>
    <col min="3" max="3" width="38.6640625" customWidth="1"/>
    <col min="4" max="4" width="36.109375" customWidth="1"/>
    <col min="5" max="6" width="30" customWidth="1"/>
    <col min="7" max="8" width="50.88671875" customWidth="1"/>
    <col min="9" max="10" width="20.5546875" customWidth="1"/>
    <col min="11" max="11" width="57.6640625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16</v>
      </c>
      <c r="F1" s="1" t="s">
        <v>17</v>
      </c>
      <c r="G1" s="1" t="s">
        <v>15</v>
      </c>
      <c r="H1" s="1" t="s">
        <v>18</v>
      </c>
      <c r="I1" s="1" t="s">
        <v>4</v>
      </c>
      <c r="J1" s="1" t="s">
        <v>19</v>
      </c>
      <c r="K1" s="1" t="s">
        <v>5</v>
      </c>
    </row>
    <row r="2" spans="1:11" x14ac:dyDescent="0.3">
      <c r="A2" s="1">
        <v>0</v>
      </c>
      <c r="B2" t="s">
        <v>6</v>
      </c>
      <c r="C2" t="s">
        <v>7</v>
      </c>
      <c r="D2" t="s">
        <v>8</v>
      </c>
      <c r="E2">
        <v>0.65315419237815753</v>
      </c>
      <c r="F2">
        <f>(ABS(E2-0.56)/0.56)*100</f>
        <v>16.634677210385263</v>
      </c>
      <c r="G2">
        <v>0.62011172909323253</v>
      </c>
      <c r="H2">
        <f>(ABS(G2-0.56)/0.56)*100</f>
        <v>10.734237338077229</v>
      </c>
      <c r="I2">
        <v>0.65315419237815753</v>
      </c>
      <c r="J2">
        <f>(ABS(I2-0.56)/0.56)*100</f>
        <v>16.634677210385263</v>
      </c>
      <c r="K2" t="s">
        <v>14</v>
      </c>
    </row>
    <row r="3" spans="1:11" x14ac:dyDescent="0.3">
      <c r="A3" s="1">
        <v>1</v>
      </c>
      <c r="B3" t="s">
        <v>6</v>
      </c>
      <c r="C3" t="s">
        <v>9</v>
      </c>
      <c r="D3" t="s">
        <v>8</v>
      </c>
      <c r="E3">
        <v>0.65315419237815753</v>
      </c>
      <c r="F3">
        <f t="shared" ref="F3:F19" si="0">(ABS(E3-0.56)/0.56)*100</f>
        <v>16.634677210385263</v>
      </c>
      <c r="G3">
        <v>0.62011172909323253</v>
      </c>
      <c r="H3">
        <f t="shared" ref="H3:H19" si="1">(ABS(G3-0.56)/0.56)*100</f>
        <v>10.734237338077229</v>
      </c>
      <c r="I3">
        <v>0.65315419237815753</v>
      </c>
      <c r="J3">
        <f t="shared" ref="J3:J19" si="2">(ABS(I3-0.56)/0.56)*100</f>
        <v>16.634677210385263</v>
      </c>
      <c r="K3" t="s">
        <v>14</v>
      </c>
    </row>
    <row r="4" spans="1:11" x14ac:dyDescent="0.3">
      <c r="A4" s="1">
        <v>2</v>
      </c>
      <c r="B4" t="s">
        <v>6</v>
      </c>
      <c r="C4" t="s">
        <v>7</v>
      </c>
      <c r="D4" t="s">
        <v>10</v>
      </c>
      <c r="E4">
        <v>0.61044860867430217</v>
      </c>
      <c r="F4">
        <f t="shared" si="0"/>
        <v>9.0086801204110909</v>
      </c>
      <c r="G4">
        <v>0.81919827346602736</v>
      </c>
      <c r="H4">
        <f t="shared" si="1"/>
        <v>46.285405976076298</v>
      </c>
      <c r="I4">
        <v>2.3075041450702738</v>
      </c>
      <c r="J4">
        <f t="shared" si="2"/>
        <v>312.0543116196917</v>
      </c>
      <c r="K4">
        <v>209.4040520059865</v>
      </c>
    </row>
    <row r="5" spans="1:11" x14ac:dyDescent="0.3">
      <c r="A5" s="1">
        <v>3</v>
      </c>
      <c r="B5" t="s">
        <v>6</v>
      </c>
      <c r="C5" t="s">
        <v>9</v>
      </c>
      <c r="D5" t="s">
        <v>10</v>
      </c>
      <c r="E5">
        <v>0.61044860867430217</v>
      </c>
      <c r="F5">
        <f t="shared" si="0"/>
        <v>9.0086801204110909</v>
      </c>
      <c r="G5">
        <v>0.81919827346602736</v>
      </c>
      <c r="H5">
        <f t="shared" si="1"/>
        <v>46.285405976076298</v>
      </c>
      <c r="I5">
        <v>2.3075041450702738</v>
      </c>
      <c r="J5">
        <f t="shared" si="2"/>
        <v>312.0543116196917</v>
      </c>
      <c r="K5">
        <v>209.4040520059865</v>
      </c>
    </row>
    <row r="6" spans="1:11" x14ac:dyDescent="0.3">
      <c r="A6" s="1">
        <v>4</v>
      </c>
      <c r="B6" t="s">
        <v>6</v>
      </c>
      <c r="C6" t="s">
        <v>7</v>
      </c>
      <c r="D6" t="s">
        <v>11</v>
      </c>
      <c r="E6">
        <v>0.61044860867430217</v>
      </c>
      <c r="F6">
        <f t="shared" si="0"/>
        <v>9.0086801204110909</v>
      </c>
      <c r="G6">
        <v>0.81919827346602736</v>
      </c>
      <c r="H6">
        <f t="shared" si="1"/>
        <v>46.285405976076298</v>
      </c>
      <c r="I6">
        <v>2.3075041450702738</v>
      </c>
      <c r="J6">
        <f t="shared" si="2"/>
        <v>312.0543116196917</v>
      </c>
      <c r="K6">
        <v>209.4040520059865</v>
      </c>
    </row>
    <row r="7" spans="1:11" x14ac:dyDescent="0.3">
      <c r="A7" s="1">
        <v>5</v>
      </c>
      <c r="B7" t="s">
        <v>6</v>
      </c>
      <c r="C7" t="s">
        <v>9</v>
      </c>
      <c r="D7" t="s">
        <v>11</v>
      </c>
      <c r="E7">
        <v>0.61044860867430217</v>
      </c>
      <c r="F7">
        <f t="shared" si="0"/>
        <v>9.0086801204110909</v>
      </c>
      <c r="G7">
        <v>0.81919827346602736</v>
      </c>
      <c r="H7">
        <f t="shared" si="1"/>
        <v>46.285405976076298</v>
      </c>
      <c r="I7">
        <v>2.3075041450702738</v>
      </c>
      <c r="J7">
        <f t="shared" si="2"/>
        <v>312.0543116196917</v>
      </c>
      <c r="K7">
        <v>209.4040520059865</v>
      </c>
    </row>
    <row r="8" spans="1:11" x14ac:dyDescent="0.3">
      <c r="A8" s="1">
        <v>6</v>
      </c>
      <c r="B8" t="s">
        <v>12</v>
      </c>
      <c r="C8" t="s">
        <v>7</v>
      </c>
      <c r="D8" t="s">
        <v>8</v>
      </c>
      <c r="E8">
        <v>0.44826930241617702</v>
      </c>
      <c r="F8">
        <f t="shared" si="0"/>
        <v>19.951910282825541</v>
      </c>
      <c r="G8">
        <v>0.85372655253492724</v>
      </c>
      <c r="H8">
        <f t="shared" si="1"/>
        <v>52.451170095522706</v>
      </c>
      <c r="I8">
        <v>1.748578070412512</v>
      </c>
      <c r="J8">
        <f t="shared" si="2"/>
        <v>212.24608400223426</v>
      </c>
      <c r="K8">
        <v>266.53514073213307</v>
      </c>
    </row>
    <row r="9" spans="1:11" x14ac:dyDescent="0.3">
      <c r="A9" s="1">
        <v>7</v>
      </c>
      <c r="B9" t="s">
        <v>12</v>
      </c>
      <c r="C9" t="s">
        <v>9</v>
      </c>
      <c r="D9" t="s">
        <v>8</v>
      </c>
      <c r="E9">
        <v>1.192091486579032</v>
      </c>
      <c r="F9">
        <f t="shared" si="0"/>
        <v>112.87347974625568</v>
      </c>
      <c r="G9">
        <v>0.90909761413986234</v>
      </c>
      <c r="H9">
        <f t="shared" si="1"/>
        <v>62.338859667832544</v>
      </c>
      <c r="I9">
        <v>1.192091486579032</v>
      </c>
      <c r="J9">
        <f t="shared" si="2"/>
        <v>112.87347974625568</v>
      </c>
      <c r="K9" t="s">
        <v>14</v>
      </c>
    </row>
    <row r="10" spans="1:11" x14ac:dyDescent="0.3">
      <c r="A10" s="1">
        <v>8</v>
      </c>
      <c r="B10" t="s">
        <v>12</v>
      </c>
      <c r="C10" t="s">
        <v>7</v>
      </c>
      <c r="D10" t="s">
        <v>10</v>
      </c>
      <c r="E10">
        <v>1.884674860486041</v>
      </c>
      <c r="F10">
        <f t="shared" si="0"/>
        <v>236.54908222965014</v>
      </c>
      <c r="G10">
        <v>1.7897249640661079</v>
      </c>
      <c r="H10">
        <f t="shared" si="1"/>
        <v>219.59374358323353</v>
      </c>
      <c r="I10">
        <v>6.1270358892691483</v>
      </c>
      <c r="J10">
        <f t="shared" si="2"/>
        <v>994.11355165520479</v>
      </c>
      <c r="K10">
        <v>81.694598390308016</v>
      </c>
    </row>
    <row r="11" spans="1:11" x14ac:dyDescent="0.3">
      <c r="A11" s="1">
        <v>9</v>
      </c>
      <c r="B11" t="s">
        <v>12</v>
      </c>
      <c r="C11" t="s">
        <v>9</v>
      </c>
      <c r="D11" t="s">
        <v>10</v>
      </c>
      <c r="E11">
        <v>1.2419885652695219</v>
      </c>
      <c r="F11">
        <f t="shared" si="0"/>
        <v>121.78367236955748</v>
      </c>
      <c r="G11">
        <v>1.3222683617297111</v>
      </c>
      <c r="H11">
        <f t="shared" si="1"/>
        <v>136.11935030887696</v>
      </c>
      <c r="I11">
        <v>7.316573607061053</v>
      </c>
      <c r="J11">
        <f t="shared" si="2"/>
        <v>1206.5310012609023</v>
      </c>
      <c r="K11">
        <v>61.096868643244527</v>
      </c>
    </row>
    <row r="12" spans="1:11" x14ac:dyDescent="0.3">
      <c r="A12" s="1">
        <v>10</v>
      </c>
      <c r="B12" t="s">
        <v>12</v>
      </c>
      <c r="C12" t="s">
        <v>7</v>
      </c>
      <c r="D12" t="s">
        <v>11</v>
      </c>
      <c r="E12">
        <v>1.688892102448502</v>
      </c>
      <c r="F12">
        <f t="shared" si="0"/>
        <v>201.58787543723244</v>
      </c>
      <c r="G12">
        <v>1.5736457059728071</v>
      </c>
      <c r="H12">
        <f t="shared" si="1"/>
        <v>181.00816178085836</v>
      </c>
      <c r="I12">
        <v>4.9461258867410969</v>
      </c>
      <c r="J12">
        <f t="shared" si="2"/>
        <v>783.2367654894814</v>
      </c>
      <c r="K12">
        <v>106.40254996262099</v>
      </c>
    </row>
    <row r="13" spans="1:11" x14ac:dyDescent="0.3">
      <c r="A13" s="1">
        <v>11</v>
      </c>
      <c r="B13" t="s">
        <v>12</v>
      </c>
      <c r="C13" t="s">
        <v>9</v>
      </c>
      <c r="D13" t="s">
        <v>11</v>
      </c>
      <c r="E13">
        <v>1.389594963047349</v>
      </c>
      <c r="F13">
        <f t="shared" si="0"/>
        <v>148.14195768702658</v>
      </c>
      <c r="G13">
        <v>1.7841150419038181</v>
      </c>
      <c r="H13">
        <f t="shared" si="1"/>
        <v>218.59197176853891</v>
      </c>
      <c r="I13">
        <v>5.6464432838201652</v>
      </c>
      <c r="J13">
        <f t="shared" si="2"/>
        <v>908.29344353931504</v>
      </c>
      <c r="K13">
        <v>87.186128420280667</v>
      </c>
    </row>
    <row r="14" spans="1:11" x14ac:dyDescent="0.3">
      <c r="A14" s="1">
        <v>12</v>
      </c>
      <c r="B14" t="s">
        <v>13</v>
      </c>
      <c r="C14" t="s">
        <v>7</v>
      </c>
      <c r="D14" t="s">
        <v>8</v>
      </c>
      <c r="E14">
        <v>0.40304830687451998</v>
      </c>
      <c r="F14">
        <f t="shared" si="0"/>
        <v>28.027088058121443</v>
      </c>
      <c r="G14">
        <v>0.77855258452493104</v>
      </c>
      <c r="H14">
        <f t="shared" si="1"/>
        <v>39.027247236594818</v>
      </c>
      <c r="I14">
        <v>1.38429043106714</v>
      </c>
      <c r="J14">
        <f t="shared" si="2"/>
        <v>147.19471983341782</v>
      </c>
      <c r="K14">
        <v>354.12515004797979</v>
      </c>
    </row>
    <row r="15" spans="1:11" x14ac:dyDescent="0.3">
      <c r="A15" s="1">
        <v>13</v>
      </c>
      <c r="B15" t="s">
        <v>13</v>
      </c>
      <c r="C15" t="s">
        <v>9</v>
      </c>
      <c r="D15" t="s">
        <v>8</v>
      </c>
      <c r="E15">
        <v>1.1653318757444131</v>
      </c>
      <c r="F15">
        <f t="shared" si="0"/>
        <v>108.09497781150232</v>
      </c>
      <c r="G15">
        <v>0.81029547801891844</v>
      </c>
      <c r="H15">
        <f t="shared" si="1"/>
        <v>44.695621074806851</v>
      </c>
      <c r="I15">
        <v>2.9286302162455788</v>
      </c>
      <c r="J15">
        <f t="shared" si="2"/>
        <v>422.96968147242478</v>
      </c>
      <c r="K15">
        <v>212.92478069763641</v>
      </c>
    </row>
    <row r="16" spans="1:11" x14ac:dyDescent="0.3">
      <c r="A16" s="1">
        <v>14</v>
      </c>
      <c r="B16" t="s">
        <v>13</v>
      </c>
      <c r="C16" t="s">
        <v>7</v>
      </c>
      <c r="D16" t="s">
        <v>10</v>
      </c>
      <c r="E16">
        <v>1.270438232394558</v>
      </c>
      <c r="F16">
        <f t="shared" si="0"/>
        <v>126.86397007045676</v>
      </c>
      <c r="G16">
        <v>1.4604174871977189</v>
      </c>
      <c r="H16">
        <f t="shared" si="1"/>
        <v>160.78883699959263</v>
      </c>
      <c r="I16">
        <v>4.5778387083222887</v>
      </c>
      <c r="J16">
        <f t="shared" si="2"/>
        <v>717.47119791469447</v>
      </c>
      <c r="K16">
        <v>105.0621226525768</v>
      </c>
    </row>
    <row r="17" spans="1:11" x14ac:dyDescent="0.3">
      <c r="A17" s="1">
        <v>15</v>
      </c>
      <c r="B17" t="s">
        <v>13</v>
      </c>
      <c r="C17" t="s">
        <v>9</v>
      </c>
      <c r="D17" t="s">
        <v>10</v>
      </c>
      <c r="E17">
        <v>0.94615513812981222</v>
      </c>
      <c r="F17">
        <f t="shared" si="0"/>
        <v>68.956274666037871</v>
      </c>
      <c r="G17">
        <v>1.074264250771237</v>
      </c>
      <c r="H17">
        <f t="shared" si="1"/>
        <v>91.832901923435159</v>
      </c>
      <c r="I17">
        <v>6.9496993959677376</v>
      </c>
      <c r="J17">
        <f t="shared" si="2"/>
        <v>1141.017749279953</v>
      </c>
      <c r="K17">
        <v>62.538043584096023</v>
      </c>
    </row>
    <row r="18" spans="1:11" x14ac:dyDescent="0.3">
      <c r="A18" s="1">
        <v>16</v>
      </c>
      <c r="B18" t="s">
        <v>13</v>
      </c>
      <c r="C18" t="s">
        <v>7</v>
      </c>
      <c r="D18" t="s">
        <v>11</v>
      </c>
      <c r="E18">
        <v>1.468365492051722</v>
      </c>
      <c r="F18">
        <f t="shared" si="0"/>
        <v>162.20812358066462</v>
      </c>
      <c r="G18">
        <v>1.439513785792891</v>
      </c>
      <c r="H18">
        <f t="shared" si="1"/>
        <v>157.05603317730194</v>
      </c>
      <c r="I18">
        <v>4.2834589935339187</v>
      </c>
      <c r="J18">
        <f t="shared" si="2"/>
        <v>664.90339170248546</v>
      </c>
      <c r="K18">
        <v>123.43551440836841</v>
      </c>
    </row>
    <row r="19" spans="1:11" x14ac:dyDescent="0.3">
      <c r="A19" s="1">
        <v>17</v>
      </c>
      <c r="B19" t="s">
        <v>13</v>
      </c>
      <c r="C19" t="s">
        <v>9</v>
      </c>
      <c r="D19" t="s">
        <v>11</v>
      </c>
      <c r="E19">
        <v>1.183261243404008</v>
      </c>
      <c r="F19">
        <f t="shared" si="0"/>
        <v>111.29665060785854</v>
      </c>
      <c r="G19">
        <v>1.6595659219341581</v>
      </c>
      <c r="H19">
        <f t="shared" si="1"/>
        <v>196.35105748824247</v>
      </c>
      <c r="I19">
        <v>6.5300494301580239</v>
      </c>
      <c r="J19">
        <f t="shared" si="2"/>
        <v>1066.0802553853614</v>
      </c>
      <c r="K19">
        <v>70.219709354832247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E50205-A02D-4C93-8BF0-12A2B1B81AF7}">
  <dimension ref="A1:G19"/>
  <sheetViews>
    <sheetView workbookViewId="0">
      <selection activeCell="E1" sqref="E1:E1048576"/>
    </sheetView>
  </sheetViews>
  <sheetFormatPr defaultRowHeight="14.4" x14ac:dyDescent="0.3"/>
  <cols>
    <col min="5" max="5" width="29.77734375" customWidth="1"/>
  </cols>
  <sheetData>
    <row r="1" spans="1:7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1">
        <v>0</v>
      </c>
      <c r="B2" t="s">
        <v>6</v>
      </c>
      <c r="C2" t="s">
        <v>7</v>
      </c>
      <c r="D2" t="s">
        <v>8</v>
      </c>
      <c r="E2">
        <v>0.62011172909323253</v>
      </c>
      <c r="F2">
        <v>0.62011172909323253</v>
      </c>
      <c r="G2">
        <v>0</v>
      </c>
    </row>
    <row r="3" spans="1:7" x14ac:dyDescent="0.3">
      <c r="A3" s="1">
        <v>1</v>
      </c>
      <c r="B3" t="s">
        <v>6</v>
      </c>
      <c r="C3" t="s">
        <v>9</v>
      </c>
      <c r="D3" t="s">
        <v>8</v>
      </c>
      <c r="E3">
        <v>0.62011172909323253</v>
      </c>
      <c r="F3">
        <v>0.62011172909323253</v>
      </c>
      <c r="G3">
        <v>0</v>
      </c>
    </row>
    <row r="4" spans="1:7" x14ac:dyDescent="0.3">
      <c r="A4" s="1">
        <v>2</v>
      </c>
      <c r="B4" t="s">
        <v>6</v>
      </c>
      <c r="C4" t="s">
        <v>7</v>
      </c>
      <c r="D4" t="s">
        <v>10</v>
      </c>
      <c r="E4">
        <v>0.81919827346602736</v>
      </c>
      <c r="F4">
        <v>2.3075041450702738</v>
      </c>
      <c r="G4">
        <v>209.4040520059865</v>
      </c>
    </row>
    <row r="5" spans="1:7" x14ac:dyDescent="0.3">
      <c r="A5" s="1">
        <v>3</v>
      </c>
      <c r="B5" t="s">
        <v>6</v>
      </c>
      <c r="C5" t="s">
        <v>9</v>
      </c>
      <c r="D5" t="s">
        <v>10</v>
      </c>
      <c r="E5">
        <v>0.81919827346602736</v>
      </c>
      <c r="F5">
        <v>2.3075041450702738</v>
      </c>
      <c r="G5">
        <v>209.4040520059865</v>
      </c>
    </row>
    <row r="6" spans="1:7" x14ac:dyDescent="0.3">
      <c r="A6" s="1">
        <v>4</v>
      </c>
      <c r="B6" t="s">
        <v>6</v>
      </c>
      <c r="C6" t="s">
        <v>7</v>
      </c>
      <c r="D6" t="s">
        <v>11</v>
      </c>
      <c r="E6">
        <v>0.81919827346602736</v>
      </c>
      <c r="F6">
        <v>2.3075041450702738</v>
      </c>
      <c r="G6">
        <v>209.4040520059865</v>
      </c>
    </row>
    <row r="7" spans="1:7" x14ac:dyDescent="0.3">
      <c r="A7" s="1">
        <v>5</v>
      </c>
      <c r="B7" t="s">
        <v>6</v>
      </c>
      <c r="C7" t="s">
        <v>9</v>
      </c>
      <c r="D7" t="s">
        <v>11</v>
      </c>
      <c r="E7">
        <v>0.81919827346602736</v>
      </c>
      <c r="F7">
        <v>2.3075041450702738</v>
      </c>
      <c r="G7">
        <v>209.4040520059865</v>
      </c>
    </row>
    <row r="8" spans="1:7" x14ac:dyDescent="0.3">
      <c r="A8" s="1">
        <v>6</v>
      </c>
      <c r="B8" t="s">
        <v>12</v>
      </c>
      <c r="C8" t="s">
        <v>7</v>
      </c>
      <c r="D8" t="s">
        <v>8</v>
      </c>
      <c r="E8">
        <v>0.85372655253492724</v>
      </c>
      <c r="F8">
        <v>1.748578070412512</v>
      </c>
      <c r="G8">
        <v>266.53514073213307</v>
      </c>
    </row>
    <row r="9" spans="1:7" x14ac:dyDescent="0.3">
      <c r="A9" s="1">
        <v>7</v>
      </c>
      <c r="B9" t="s">
        <v>12</v>
      </c>
      <c r="C9" t="s">
        <v>9</v>
      </c>
      <c r="D9" t="s">
        <v>8</v>
      </c>
      <c r="E9">
        <v>0.90909761413986234</v>
      </c>
      <c r="F9">
        <v>0.90909761413986234</v>
      </c>
      <c r="G9">
        <v>0</v>
      </c>
    </row>
    <row r="10" spans="1:7" x14ac:dyDescent="0.3">
      <c r="A10" s="1">
        <v>8</v>
      </c>
      <c r="B10" t="s">
        <v>12</v>
      </c>
      <c r="C10" t="s">
        <v>7</v>
      </c>
      <c r="D10" t="s">
        <v>10</v>
      </c>
      <c r="E10">
        <v>1.7897249640661079</v>
      </c>
      <c r="F10">
        <v>6.1270358892691483</v>
      </c>
      <c r="G10">
        <v>81.694598390308016</v>
      </c>
    </row>
    <row r="11" spans="1:7" x14ac:dyDescent="0.3">
      <c r="A11" s="1">
        <v>9</v>
      </c>
      <c r="B11" t="s">
        <v>12</v>
      </c>
      <c r="C11" t="s">
        <v>9</v>
      </c>
      <c r="D11" t="s">
        <v>10</v>
      </c>
      <c r="E11">
        <v>1.3222683617297111</v>
      </c>
      <c r="F11">
        <v>7.316573607061053</v>
      </c>
      <c r="G11">
        <v>61.096868643244527</v>
      </c>
    </row>
    <row r="12" spans="1:7" x14ac:dyDescent="0.3">
      <c r="A12" s="1">
        <v>10</v>
      </c>
      <c r="B12" t="s">
        <v>12</v>
      </c>
      <c r="C12" t="s">
        <v>7</v>
      </c>
      <c r="D12" t="s">
        <v>11</v>
      </c>
      <c r="E12">
        <v>1.5736457059728071</v>
      </c>
      <c r="F12">
        <v>4.9461258867410969</v>
      </c>
      <c r="G12">
        <v>106.40254996262099</v>
      </c>
    </row>
    <row r="13" spans="1:7" x14ac:dyDescent="0.3">
      <c r="A13" s="1">
        <v>11</v>
      </c>
      <c r="B13" t="s">
        <v>12</v>
      </c>
      <c r="C13" t="s">
        <v>9</v>
      </c>
      <c r="D13" t="s">
        <v>11</v>
      </c>
      <c r="E13">
        <v>1.7841150419038181</v>
      </c>
      <c r="F13">
        <v>5.6464432838201652</v>
      </c>
      <c r="G13">
        <v>87.186128420280667</v>
      </c>
    </row>
    <row r="14" spans="1:7" x14ac:dyDescent="0.3">
      <c r="A14" s="1">
        <v>12</v>
      </c>
      <c r="B14" t="s">
        <v>13</v>
      </c>
      <c r="C14" t="s">
        <v>7</v>
      </c>
      <c r="D14" t="s">
        <v>8</v>
      </c>
      <c r="E14">
        <v>0.77855258452493104</v>
      </c>
      <c r="F14">
        <v>1.38429043106714</v>
      </c>
      <c r="G14">
        <v>354.12515004797979</v>
      </c>
    </row>
    <row r="15" spans="1:7" x14ac:dyDescent="0.3">
      <c r="A15" s="1">
        <v>13</v>
      </c>
      <c r="B15" t="s">
        <v>13</v>
      </c>
      <c r="C15" t="s">
        <v>9</v>
      </c>
      <c r="D15" t="s">
        <v>8</v>
      </c>
      <c r="E15">
        <v>0.81029547801891844</v>
      </c>
      <c r="F15">
        <v>2.9286302162455788</v>
      </c>
      <c r="G15">
        <v>212.92478069763641</v>
      </c>
    </row>
    <row r="16" spans="1:7" x14ac:dyDescent="0.3">
      <c r="A16" s="1">
        <v>14</v>
      </c>
      <c r="B16" t="s">
        <v>13</v>
      </c>
      <c r="C16" t="s">
        <v>7</v>
      </c>
      <c r="D16" t="s">
        <v>10</v>
      </c>
      <c r="E16">
        <v>1.4604174871977189</v>
      </c>
      <c r="F16">
        <v>4.5778387083222887</v>
      </c>
      <c r="G16">
        <v>105.0621226525768</v>
      </c>
    </row>
    <row r="17" spans="1:7" x14ac:dyDescent="0.3">
      <c r="A17" s="1">
        <v>15</v>
      </c>
      <c r="B17" t="s">
        <v>13</v>
      </c>
      <c r="C17" t="s">
        <v>9</v>
      </c>
      <c r="D17" t="s">
        <v>10</v>
      </c>
      <c r="E17">
        <v>1.074264250771237</v>
      </c>
      <c r="F17">
        <v>6.9496993959677376</v>
      </c>
      <c r="G17">
        <v>62.538043584096023</v>
      </c>
    </row>
    <row r="18" spans="1:7" x14ac:dyDescent="0.3">
      <c r="A18" s="1">
        <v>16</v>
      </c>
      <c r="B18" t="s">
        <v>13</v>
      </c>
      <c r="C18" t="s">
        <v>7</v>
      </c>
      <c r="D18" t="s">
        <v>11</v>
      </c>
      <c r="E18">
        <v>1.439513785792891</v>
      </c>
      <c r="F18">
        <v>4.2834589935339187</v>
      </c>
      <c r="G18">
        <v>123.43551440836841</v>
      </c>
    </row>
    <row r="19" spans="1:7" x14ac:dyDescent="0.3">
      <c r="A19" s="1">
        <v>17</v>
      </c>
      <c r="B19" t="s">
        <v>13</v>
      </c>
      <c r="C19" t="s">
        <v>9</v>
      </c>
      <c r="D19" t="s">
        <v>11</v>
      </c>
      <c r="E19">
        <v>1.6595659219341581</v>
      </c>
      <c r="F19">
        <v>6.5300494301580239</v>
      </c>
      <c r="G19">
        <v>70.219709354832247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Full_Linear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Jawad, Mona</cp:lastModifiedBy>
  <dcterms:created xsi:type="dcterms:W3CDTF">2025-02-20T02:37:49Z</dcterms:created>
  <dcterms:modified xsi:type="dcterms:W3CDTF">2025-02-20T03:29:07Z</dcterms:modified>
</cp:coreProperties>
</file>