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wad\Downloads\Python-EPSC-NSFA-Pipeline\matrix_outputs\Control_Results\"/>
    </mc:Choice>
  </mc:AlternateContent>
  <xr:revisionPtr revIDLastSave="0" documentId="13_ncr:1_{2B1A5475-4D55-4894-AF40-6FC6CA0DD9A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Sheet1!$A$1:$I$12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2" i="1"/>
</calcChain>
</file>

<file path=xl/sharedStrings.xml><?xml version="1.0" encoding="utf-8"?>
<sst xmlns="http://schemas.openxmlformats.org/spreadsheetml/2006/main" count="53" uniqueCount="23">
  <si>
    <t>cell_name</t>
  </si>
  <si>
    <t>alignment</t>
  </si>
  <si>
    <t>analysis_start_point</t>
  </si>
  <si>
    <t>scaling</t>
  </si>
  <si>
    <t>linear_i</t>
  </si>
  <si>
    <t>parabolic_i</t>
  </si>
  <si>
    <t>num_channels</t>
  </si>
  <si>
    <t>JG18109A</t>
  </si>
  <si>
    <t>JG18320A</t>
  </si>
  <si>
    <t>JG18D29A</t>
  </si>
  <si>
    <t>JG20O21C</t>
  </si>
  <si>
    <t>JG20O22B</t>
  </si>
  <si>
    <t>JG21O23A</t>
  </si>
  <si>
    <t>JG22221A</t>
  </si>
  <si>
    <t>JG22221C</t>
  </si>
  <si>
    <t>JG22D02A</t>
  </si>
  <si>
    <t>JG23O23A</t>
  </si>
  <si>
    <t>JG23O29A</t>
  </si>
  <si>
    <t>peak</t>
  </si>
  <si>
    <t>peak_start</t>
  </si>
  <si>
    <t>minimize_error</t>
  </si>
  <si>
    <t>Predicted EPSC Max Amplitude Mean (n*i)</t>
  </si>
  <si>
    <t>True Average Peak 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</si>
</sst>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FF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JG18109A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Sheet1!$H$1:$I$1</c:f>
              <c:strCache>
                <c:ptCount val="2"/>
                <c:pt idx="0">
                  <c:v>Predicted EPSC Max Amplitude Mean (n*i)</c:v>
                </c:pt>
                <c:pt idx="1">
                  <c:v>True Average Peak Amplitude</c:v>
                </c:pt>
              </c:strCache>
            </c:strRef>
          </c:cat>
          <c:val>
            <c:numRef>
              <c:f>Sheet1!$H$2:$I$2</c:f>
              <c:numCache>
                <c:formatCode>General</c:formatCode>
                <c:ptCount val="2"/>
                <c:pt idx="0">
                  <c:v>328.33789448036015</c:v>
                </c:pt>
                <c:pt idx="1">
                  <c:v>335.87985993690842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FF-4DE0-9B9B-B01C9A09AA2F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JG18320A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Sheet1!$H$1:$I$1</c:f>
              <c:strCache>
                <c:ptCount val="2"/>
                <c:pt idx="0">
                  <c:v>Predicted EPSC Max Amplitude Mean (n*i)</c:v>
                </c:pt>
                <c:pt idx="1">
                  <c:v>True Average Peak Amplitude</c:v>
                </c:pt>
              </c:strCache>
            </c:strRef>
          </c:cat>
          <c:val>
            <c:numRef>
              <c:f>Sheet1!$H$3:$I$3</c:f>
              <c:numCache>
                <c:formatCode>General</c:formatCode>
                <c:ptCount val="2"/>
                <c:pt idx="0">
                  <c:v>719.09991920372477</c:v>
                </c:pt>
                <c:pt idx="1">
                  <c:v>455.17547594501718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FF-4DE0-9B9B-B01C9A09AA2F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JG18D29A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Sheet1!$H$1:$I$1</c:f>
              <c:strCache>
                <c:ptCount val="2"/>
                <c:pt idx="0">
                  <c:v>Predicted EPSC Max Amplitude Mean (n*i)</c:v>
                </c:pt>
                <c:pt idx="1">
                  <c:v>True Average Peak Amplitude</c:v>
                </c:pt>
              </c:strCache>
            </c:strRef>
          </c:cat>
          <c:val>
            <c:numRef>
              <c:f>Sheet1!$H$4:$I$4</c:f>
              <c:numCache>
                <c:formatCode>General</c:formatCode>
                <c:ptCount val="2"/>
                <c:pt idx="0">
                  <c:v>561.9185489810244</c:v>
                </c:pt>
                <c:pt idx="1">
                  <c:v>473.90593258426969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FF-4DE0-9B9B-B01C9A09AA2F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JG20O21C</c:v>
                </c:pt>
              </c:strCache>
            </c:strRef>
          </c:tx>
          <c:spPr>
            <a:ln w="28575" cap="rnd">
              <a:solidFill>
                <a:srgbClr val="996633"/>
              </a:solidFill>
              <a:round/>
            </a:ln>
            <a:effectLst/>
          </c:spPr>
          <c:marker>
            <c:symbol val="none"/>
          </c:marker>
          <c:cat>
            <c:strRef>
              <c:f>Sheet1!$H$1:$I$1</c:f>
              <c:strCache>
                <c:ptCount val="2"/>
                <c:pt idx="0">
                  <c:v>Predicted EPSC Max Amplitude Mean (n*i)</c:v>
                </c:pt>
                <c:pt idx="1">
                  <c:v>True Average Peak Amplitude</c:v>
                </c:pt>
              </c:strCache>
            </c:strRef>
          </c:cat>
          <c:val>
            <c:numRef>
              <c:f>Sheet1!$H$5:$I$5</c:f>
              <c:numCache>
                <c:formatCode>General</c:formatCode>
                <c:ptCount val="2"/>
                <c:pt idx="0">
                  <c:v>347.47119850689489</c:v>
                </c:pt>
                <c:pt idx="1">
                  <c:v>359.06426359143359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FF-4DE0-9B9B-B01C9A09AA2F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JG20O22B</c:v>
                </c:pt>
              </c:strCache>
            </c:strRef>
          </c:tx>
          <c:spPr>
            <a:ln w="28575" cap="rnd">
              <a:solidFill>
                <a:srgbClr val="FFCCFF"/>
              </a:solidFill>
              <a:round/>
            </a:ln>
            <a:effectLst/>
          </c:spPr>
          <c:marker>
            <c:symbol val="none"/>
          </c:marker>
          <c:cat>
            <c:strRef>
              <c:f>Sheet1!$H$1:$I$1</c:f>
              <c:strCache>
                <c:ptCount val="2"/>
                <c:pt idx="0">
                  <c:v>Predicted EPSC Max Amplitude Mean (n*i)</c:v>
                </c:pt>
                <c:pt idx="1">
                  <c:v>True Average Peak Amplitude</c:v>
                </c:pt>
              </c:strCache>
            </c:strRef>
          </c:cat>
          <c:val>
            <c:numRef>
              <c:f>Sheet1!$H$6:$I$6</c:f>
              <c:numCache>
                <c:formatCode>General</c:formatCode>
                <c:ptCount val="2"/>
                <c:pt idx="0">
                  <c:v>190.36518794806287</c:v>
                </c:pt>
                <c:pt idx="1">
                  <c:v>207.34519332096511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FF-4DE0-9B9B-B01C9A09AA2F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JG21O23A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Sheet1!$H$1:$I$1</c:f>
              <c:strCache>
                <c:ptCount val="2"/>
                <c:pt idx="0">
                  <c:v>Predicted EPSC Max Amplitude Mean (n*i)</c:v>
                </c:pt>
                <c:pt idx="1">
                  <c:v>True Average Peak Amplitude</c:v>
                </c:pt>
              </c:strCache>
            </c:strRef>
          </c:cat>
          <c:val>
            <c:numRef>
              <c:f>Sheet1!$H$7:$I$7</c:f>
              <c:numCache>
                <c:formatCode>General</c:formatCode>
                <c:ptCount val="2"/>
                <c:pt idx="0">
                  <c:v>382.34265854628353</c:v>
                </c:pt>
                <c:pt idx="1">
                  <c:v>356.2819728884254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6FF-4DE0-9B9B-B01C9A09AA2F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JG22221A</c:v>
                </c:pt>
              </c:strCache>
            </c:strRef>
          </c:tx>
          <c:spPr>
            <a:ln w="28575" cap="rnd">
              <a:solidFill>
                <a:schemeClr val="accent6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Sheet1!$H$1:$I$1</c:f>
              <c:strCache>
                <c:ptCount val="2"/>
                <c:pt idx="0">
                  <c:v>Predicted EPSC Max Amplitude Mean (n*i)</c:v>
                </c:pt>
                <c:pt idx="1">
                  <c:v>True Average Peak Amplitude</c:v>
                </c:pt>
              </c:strCache>
            </c:strRef>
          </c:cat>
          <c:val>
            <c:numRef>
              <c:f>Sheet1!$H$8:$I$8</c:f>
              <c:numCache>
                <c:formatCode>General</c:formatCode>
                <c:ptCount val="2"/>
                <c:pt idx="0">
                  <c:v>433.68950256521839</c:v>
                </c:pt>
                <c:pt idx="1">
                  <c:v>422.55411441326549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FF-4DE0-9B9B-B01C9A09AA2F}"/>
            </c:ext>
          </c:extLst>
        </c:ser>
        <c:ser>
          <c:idx val="7"/>
          <c:order val="7"/>
          <c:tx>
            <c:strRef>
              <c:f>Sheet1!$A$9</c:f>
              <c:strCache>
                <c:ptCount val="1"/>
                <c:pt idx="0">
                  <c:v>JG22221C</c:v>
                </c:pt>
              </c:strCache>
            </c:strRef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Sheet1!$H$1:$I$1</c:f>
              <c:strCache>
                <c:ptCount val="2"/>
                <c:pt idx="0">
                  <c:v>Predicted EPSC Max Amplitude Mean (n*i)</c:v>
                </c:pt>
                <c:pt idx="1">
                  <c:v>True Average Peak Amplitude</c:v>
                </c:pt>
              </c:strCache>
            </c:strRef>
          </c:cat>
          <c:val>
            <c:numRef>
              <c:f>Sheet1!$H$9:$I$9</c:f>
              <c:numCache>
                <c:formatCode>General</c:formatCode>
                <c:ptCount val="2"/>
                <c:pt idx="0">
                  <c:v>647.20524066144412</c:v>
                </c:pt>
                <c:pt idx="1">
                  <c:v>302.34890346420337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6FF-4DE0-9B9B-B01C9A09AA2F}"/>
            </c:ext>
          </c:extLst>
        </c:ser>
        <c:ser>
          <c:idx val="8"/>
          <c:order val="8"/>
          <c:tx>
            <c:strRef>
              <c:f>Sheet1!$A$10</c:f>
              <c:strCache>
                <c:ptCount val="1"/>
                <c:pt idx="0">
                  <c:v>JG22D02A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Sheet1!$H$1:$I$1</c:f>
              <c:strCache>
                <c:ptCount val="2"/>
                <c:pt idx="0">
                  <c:v>Predicted EPSC Max Amplitude Mean (n*i)</c:v>
                </c:pt>
                <c:pt idx="1">
                  <c:v>True Average Peak Amplitude</c:v>
                </c:pt>
              </c:strCache>
            </c:strRef>
          </c:cat>
          <c:val>
            <c:numRef>
              <c:f>Sheet1!$H$10:$I$10</c:f>
              <c:numCache>
                <c:formatCode>General</c:formatCode>
                <c:ptCount val="2"/>
                <c:pt idx="0">
                  <c:v>377.90390795547836</c:v>
                </c:pt>
                <c:pt idx="1">
                  <c:v>343.60688244047611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6FF-4DE0-9B9B-B01C9A09AA2F}"/>
            </c:ext>
          </c:extLst>
        </c:ser>
        <c:ser>
          <c:idx val="9"/>
          <c:order val="9"/>
          <c:tx>
            <c:strRef>
              <c:f>Sheet1!$A$11</c:f>
              <c:strCache>
                <c:ptCount val="1"/>
                <c:pt idx="0">
                  <c:v>JG23O23A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Sheet1!$H$1:$I$1</c:f>
              <c:strCache>
                <c:ptCount val="2"/>
                <c:pt idx="0">
                  <c:v>Predicted EPSC Max Amplitude Mean (n*i)</c:v>
                </c:pt>
                <c:pt idx="1">
                  <c:v>True Average Peak Amplitude</c:v>
                </c:pt>
              </c:strCache>
            </c:strRef>
          </c:cat>
          <c:val>
            <c:numRef>
              <c:f>Sheet1!$H$11:$I$11</c:f>
              <c:numCache>
                <c:formatCode>General</c:formatCode>
                <c:ptCount val="2"/>
                <c:pt idx="0">
                  <c:v>362.21594660789066</c:v>
                </c:pt>
                <c:pt idx="1">
                  <c:v>319.5781410488247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6FF-4DE0-9B9B-B01C9A09AA2F}"/>
            </c:ext>
          </c:extLst>
        </c:ser>
        <c:ser>
          <c:idx val="10"/>
          <c:order val="10"/>
          <c:tx>
            <c:strRef>
              <c:f>Sheet1!$A$12</c:f>
              <c:strCache>
                <c:ptCount val="1"/>
                <c:pt idx="0">
                  <c:v>JG23O29A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Sheet1!$H$1:$I$1</c:f>
              <c:strCache>
                <c:ptCount val="2"/>
                <c:pt idx="0">
                  <c:v>Predicted EPSC Max Amplitude Mean (n*i)</c:v>
                </c:pt>
                <c:pt idx="1">
                  <c:v>True Average Peak Amplitude</c:v>
                </c:pt>
              </c:strCache>
            </c:strRef>
          </c:cat>
          <c:val>
            <c:numRef>
              <c:f>Sheet1!$H$12:$I$12</c:f>
              <c:numCache>
                <c:formatCode>General</c:formatCode>
                <c:ptCount val="2"/>
                <c:pt idx="0">
                  <c:v>212.78289598487265</c:v>
                </c:pt>
                <c:pt idx="1">
                  <c:v>287.00466696252442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6FF-4DE0-9B9B-B01C9A09A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3355712"/>
        <c:axId val="1593353312"/>
        <c:extLst>
          <c:ext xmlns:c15="http://schemas.microsoft.com/office/drawing/2012/chart" uri="{02D57815-91ED-43cb-92C2-25804820EDAC}"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Sheet1!$A$13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Sheet1!$H$1:$I$1</c15:sqref>
                        </c15:formulaRef>
                      </c:ext>
                    </c:extLst>
                    <c:strCache>
                      <c:ptCount val="2"/>
                      <c:pt idx="0">
                        <c:v>Predicted EPSC Max Amplitude Mean (n*i)</c:v>
                      </c:pt>
                      <c:pt idx="1">
                        <c:v>True Average Peak Amplitude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Sheet1!$H$13:$I$13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96FF-4DE0-9B9B-B01C9A09AA2F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Sheet1!$H$1:$I$1</c15:sqref>
                        </c15:formulaRef>
                      </c:ext>
                    </c:extLst>
                    <c:strCache>
                      <c:ptCount val="2"/>
                      <c:pt idx="0">
                        <c:v>Predicted EPSC Max Amplitude Mean (n*i)</c:v>
                      </c:pt>
                      <c:pt idx="1">
                        <c:v>True Average Peak Amplitude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Sheet1!$H$14:$I$14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96FF-4DE0-9B9B-B01C9A09AA2F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Sheet1!$H$1:$I$1</c15:sqref>
                        </c15:formulaRef>
                      </c:ext>
                    </c:extLst>
                    <c:strCache>
                      <c:ptCount val="2"/>
                      <c:pt idx="0">
                        <c:v>Predicted EPSC Max Amplitude Mean (n*i)</c:v>
                      </c:pt>
                      <c:pt idx="1">
                        <c:v>True Average Peak Amplitude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Sheet1!$H$15:$I$15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96FF-4DE0-9B9B-B01C9A09AA2F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Sheet1!$H$1:$I$1</c15:sqref>
                        </c15:formulaRef>
                      </c:ext>
                    </c:extLst>
                    <c:strCache>
                      <c:ptCount val="2"/>
                      <c:pt idx="0">
                        <c:v>Predicted EPSC Max Amplitude Mean (n*i)</c:v>
                      </c:pt>
                      <c:pt idx="1">
                        <c:v>True Average Peak Amplitude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Sheet1!$H$16:$I$16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96FF-4DE0-9B9B-B01C9A09AA2F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Sheet1!$H$1:$I$1</c15:sqref>
                        </c15:formulaRef>
                      </c:ext>
                    </c:extLst>
                    <c:strCache>
                      <c:ptCount val="2"/>
                      <c:pt idx="0">
                        <c:v>Predicted EPSC Max Amplitude Mean (n*i)</c:v>
                      </c:pt>
                      <c:pt idx="1">
                        <c:v>True Average Peak Amplitude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Sheet1!$H$17:$I$17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F-96FF-4DE0-9B9B-B01C9A09AA2F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Sheet1!$A$18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Sheet1!$H$1:$I$1</c15:sqref>
                        </c15:formulaRef>
                      </c:ext>
                    </c:extLst>
                    <c:strCache>
                      <c:ptCount val="2"/>
                      <c:pt idx="0">
                        <c:v>Predicted EPSC Max Amplitude Mean (n*i)</c:v>
                      </c:pt>
                      <c:pt idx="1">
                        <c:v>True Average Peak Amplitude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Sheet1!$H$18:$I$18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0-96FF-4DE0-9B9B-B01C9A09AA2F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Sheet1!$A$19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Sheet1!$H$1:$I$1</c15:sqref>
                        </c15:formulaRef>
                      </c:ext>
                    </c:extLst>
                    <c:strCache>
                      <c:ptCount val="2"/>
                      <c:pt idx="0">
                        <c:v>Predicted EPSC Max Amplitude Mean (n*i)</c:v>
                      </c:pt>
                      <c:pt idx="1">
                        <c:v>True Average Peak Amplitude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Sheet1!$H$19:$I$19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1-96FF-4DE0-9B9B-B01C9A09AA2F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Sheet1!$A$20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Sheet1!$H$1:$I$1</c15:sqref>
                        </c15:formulaRef>
                      </c:ext>
                    </c:extLst>
                    <c:strCache>
                      <c:ptCount val="2"/>
                      <c:pt idx="0">
                        <c:v>Predicted EPSC Max Amplitude Mean (n*i)</c:v>
                      </c:pt>
                      <c:pt idx="1">
                        <c:v>True Average Peak Amplitude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Sheet1!$H$20:$I$20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2-96FF-4DE0-9B9B-B01C9A09AA2F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Sheet1!$A$21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Sheet1!$H$1:$I$1</c15:sqref>
                        </c15:formulaRef>
                      </c:ext>
                    </c:extLst>
                    <c:strCache>
                      <c:ptCount val="2"/>
                      <c:pt idx="0">
                        <c:v>Predicted EPSC Max Amplitude Mean (n*i)</c:v>
                      </c:pt>
                      <c:pt idx="1">
                        <c:v>True Average Peak Amplitude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Sheet1!$H$21:$I$21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3-96FF-4DE0-9B9B-B01C9A09AA2F}"/>
                  </c:ext>
                </c:extLst>
              </c15:ser>
            </c15:filteredLineSeries>
          </c:ext>
        </c:extLst>
      </c:lineChart>
      <c:catAx>
        <c:axId val="159335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353312"/>
        <c:crosses val="autoZero"/>
        <c:auto val="1"/>
        <c:lblAlgn val="ctr"/>
        <c:lblOffset val="100"/>
        <c:noMultiLvlLbl val="0"/>
      </c:catAx>
      <c:valAx>
        <c:axId val="1593353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35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1623646</xdr:colOff>
      <xdr:row>23</xdr:row>
      <xdr:rowOff>167369</xdr:rowOff>
    </xdr:from>
    <xdr:to>
      <xdr:col>6</xdr:col>
      <xdr:colOff>1459523</xdr:colOff>
      <xdr:row>38</xdr:row>
      <xdr:rowOff>97030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95F8BC-6F1A-093B-3938-69BD8BD91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A18" zoomScale="110" zoomScaleNormal="100" workbookViewId="0">
      <selection activeCell="G23" sqref="G23"/>
    </sheetView>
  </sheetViews>
  <sheetFormatPr defaultRowHeight="14.4" x14ac:dyDescent="0.3"/>
  <cols>
    <col min="3" max="3" width="42.44140625" customWidth="1"/>
    <col min="7" max="8" width="24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22</v>
      </c>
    </row>
    <row r="2" spans="1:9" x14ac:dyDescent="0.3">
      <c r="A2" t="s">
        <v>7</v>
      </c>
      <c r="B2" t="s">
        <v>18</v>
      </c>
      <c r="C2" t="s">
        <v>19</v>
      </c>
      <c r="D2" t="s">
        <v>20</v>
      </c>
      <c r="E2">
        <v>1.010442134451329</v>
      </c>
      <c r="F2">
        <v>1.541321432431793</v>
      </c>
      <c r="G2">
        <v>324.94477742522872</v>
      </c>
      <c r="H2">
        <f>G2*E2</f>
        <v>328.33789448036015</v>
      </c>
      <c r="I2">
        <v>335.87985993690842</v>
      </c>
    </row>
    <row r="3" spans="1:9" x14ac:dyDescent="0.3">
      <c r="A3" t="s">
        <v>8</v>
      </c>
      <c r="B3" t="s">
        <v>18</v>
      </c>
      <c r="C3" t="s">
        <v>19</v>
      </c>
      <c r="D3" t="s">
        <v>20</v>
      </c>
      <c r="E3">
        <v>0.94661706039849791</v>
      </c>
      <c r="F3">
        <v>1.0586378305551281</v>
      </c>
      <c r="G3">
        <v>759.65239724393393</v>
      </c>
      <c r="H3">
        <f t="shared" ref="H3:H12" si="0">G3*E3</f>
        <v>719.09991920372477</v>
      </c>
      <c r="I3">
        <v>455.17547594501718</v>
      </c>
    </row>
    <row r="4" spans="1:9" x14ac:dyDescent="0.3">
      <c r="A4" t="s">
        <v>9</v>
      </c>
      <c r="B4" t="s">
        <v>18</v>
      </c>
      <c r="C4" t="s">
        <v>19</v>
      </c>
      <c r="D4" t="s">
        <v>20</v>
      </c>
      <c r="E4">
        <v>1.2483013889827339</v>
      </c>
      <c r="F4">
        <v>1.4835703948592951</v>
      </c>
      <c r="G4">
        <v>450.14653828026519</v>
      </c>
      <c r="H4">
        <f t="shared" si="0"/>
        <v>561.9185489810244</v>
      </c>
      <c r="I4">
        <v>473.90593258426969</v>
      </c>
    </row>
    <row r="5" spans="1:9" x14ac:dyDescent="0.3">
      <c r="A5" t="s">
        <v>10</v>
      </c>
      <c r="B5" t="s">
        <v>18</v>
      </c>
      <c r="C5" t="s">
        <v>19</v>
      </c>
      <c r="D5" t="s">
        <v>20</v>
      </c>
      <c r="E5">
        <v>0.90743127801716639</v>
      </c>
      <c r="F5">
        <v>1.406307175640104</v>
      </c>
      <c r="G5">
        <v>382.91737008025149</v>
      </c>
      <c r="H5">
        <f t="shared" si="0"/>
        <v>347.47119850689489</v>
      </c>
      <c r="I5">
        <v>359.06426359143359</v>
      </c>
    </row>
    <row r="6" spans="1:9" x14ac:dyDescent="0.3">
      <c r="A6" t="s">
        <v>11</v>
      </c>
      <c r="B6" t="s">
        <v>18</v>
      </c>
      <c r="C6" t="s">
        <v>19</v>
      </c>
      <c r="D6" t="s">
        <v>20</v>
      </c>
      <c r="E6">
        <v>0.9839488174790969</v>
      </c>
      <c r="F6">
        <v>1.34089176350163</v>
      </c>
      <c r="G6">
        <v>193.47062018508601</v>
      </c>
      <c r="H6">
        <f t="shared" si="0"/>
        <v>190.36518794806287</v>
      </c>
      <c r="I6">
        <v>207.34519332096511</v>
      </c>
    </row>
    <row r="7" spans="1:9" x14ac:dyDescent="0.3">
      <c r="A7" t="s">
        <v>12</v>
      </c>
      <c r="B7" t="s">
        <v>18</v>
      </c>
      <c r="C7" t="s">
        <v>19</v>
      </c>
      <c r="D7" t="s">
        <v>20</v>
      </c>
      <c r="E7">
        <v>1.0095665228828821</v>
      </c>
      <c r="F7">
        <v>1.3587687955272469</v>
      </c>
      <c r="G7">
        <v>378.71962855352962</v>
      </c>
      <c r="H7">
        <f t="shared" si="0"/>
        <v>382.34265854628353</v>
      </c>
      <c r="I7">
        <v>356.2819728884254</v>
      </c>
    </row>
    <row r="8" spans="1:9" x14ac:dyDescent="0.3">
      <c r="A8" t="s">
        <v>13</v>
      </c>
      <c r="B8" t="s">
        <v>18</v>
      </c>
      <c r="C8" t="s">
        <v>19</v>
      </c>
      <c r="D8" t="s">
        <v>20</v>
      </c>
      <c r="E8">
        <v>1.0428474301398929</v>
      </c>
      <c r="F8">
        <v>1.5362018560498321</v>
      </c>
      <c r="G8">
        <v>415.87051953231651</v>
      </c>
      <c r="H8">
        <f t="shared" si="0"/>
        <v>433.68950256521839</v>
      </c>
      <c r="I8">
        <v>422.55411441326549</v>
      </c>
    </row>
    <row r="9" spans="1:9" x14ac:dyDescent="0.3">
      <c r="A9" t="s">
        <v>14</v>
      </c>
      <c r="B9" t="s">
        <v>18</v>
      </c>
      <c r="C9" t="s">
        <v>19</v>
      </c>
      <c r="D9" t="s">
        <v>20</v>
      </c>
      <c r="E9">
        <v>1.769566061223329</v>
      </c>
      <c r="F9">
        <v>1.484765322934688</v>
      </c>
      <c r="G9">
        <v>365.74234488540139</v>
      </c>
      <c r="H9">
        <f t="shared" si="0"/>
        <v>647.20524066144412</v>
      </c>
      <c r="I9">
        <v>302.34890346420337</v>
      </c>
    </row>
    <row r="10" spans="1:9" x14ac:dyDescent="0.3">
      <c r="A10" t="s">
        <v>15</v>
      </c>
      <c r="B10" t="s">
        <v>18</v>
      </c>
      <c r="C10" t="s">
        <v>19</v>
      </c>
      <c r="D10" t="s">
        <v>20</v>
      </c>
      <c r="E10">
        <v>0.8743312462037921</v>
      </c>
      <c r="F10">
        <v>1.3880283619325191</v>
      </c>
      <c r="G10">
        <v>432.22052236641127</v>
      </c>
      <c r="H10">
        <f t="shared" si="0"/>
        <v>377.90390795547836</v>
      </c>
      <c r="I10">
        <v>343.60688244047611</v>
      </c>
    </row>
    <row r="11" spans="1:9" x14ac:dyDescent="0.3">
      <c r="A11" t="s">
        <v>16</v>
      </c>
      <c r="B11" t="s">
        <v>18</v>
      </c>
      <c r="C11" t="s">
        <v>19</v>
      </c>
      <c r="D11" t="s">
        <v>20</v>
      </c>
      <c r="E11">
        <v>1.0591053397088941</v>
      </c>
      <c r="F11">
        <v>1.317485404947258</v>
      </c>
      <c r="G11">
        <v>342.00181325442981</v>
      </c>
      <c r="H11">
        <f t="shared" si="0"/>
        <v>362.21594660789066</v>
      </c>
      <c r="I11">
        <v>319.5781410488247</v>
      </c>
    </row>
    <row r="12" spans="1:9" x14ac:dyDescent="0.3">
      <c r="A12" t="s">
        <v>17</v>
      </c>
      <c r="B12" t="s">
        <v>18</v>
      </c>
      <c r="C12" t="s">
        <v>19</v>
      </c>
      <c r="D12" t="s">
        <v>20</v>
      </c>
      <c r="E12">
        <v>1.0301412051029251</v>
      </c>
      <c r="F12">
        <v>1.725298768565944</v>
      </c>
      <c r="G12">
        <v>206.55701852408939</v>
      </c>
      <c r="H12">
        <f t="shared" si="0"/>
        <v>212.78289598487265</v>
      </c>
      <c r="I12">
        <v>287.00466696252442</v>
      </c>
    </row>
  </sheetData>
  <autoFilter ref="A1:I12" xr:uid="{00000000-0001-0000-0000-000000000000}">
    <sortState xmlns:xlrd2="http://schemas.microsoft.com/office/spreadsheetml/2017/richdata2" ref="A2:I12">
      <sortCondition ref="D1:D12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Jawad, Mona</cp:lastModifiedBy>
  <dcterms:created xsi:type="dcterms:W3CDTF">2025-02-21T23:54:47Z</dcterms:created>
  <dcterms:modified xsi:type="dcterms:W3CDTF">2025-02-22T00:28:57Z</dcterms:modified>
</cp:coreProperties>
</file>